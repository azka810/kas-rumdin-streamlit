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hammad.syafrizal02\Downloads\"/>
    </mc:Choice>
  </mc:AlternateContent>
  <xr:revisionPtr revIDLastSave="0" documentId="13_ncr:1_{102C5610-EC41-418A-97E1-EAB35ADC6F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Kas" sheetId="1" r:id="rId1"/>
    <sheet name="Sisa Kas" sheetId="2" r:id="rId2"/>
    <sheet name="Dashboard" sheetId="4" r:id="rId3"/>
    <sheet name="Biaya Bulana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E29" i="1"/>
  <c r="C3" i="2" s="1"/>
  <c r="B15" i="3"/>
  <c r="E9" i="1"/>
  <c r="B7" i="3"/>
  <c r="B3" i="2"/>
  <c r="C2" i="2"/>
  <c r="B2" i="2"/>
  <c r="F3" i="1"/>
  <c r="F4" i="1" s="1"/>
  <c r="F6" i="1" s="1"/>
  <c r="F7" i="1" s="1"/>
  <c r="F9" i="1" s="1"/>
  <c r="F12" i="1" s="1"/>
  <c r="F14" i="1" s="1"/>
  <c r="F18" i="1" s="1"/>
  <c r="F21" i="1" s="1"/>
  <c r="F2" i="1"/>
  <c r="F5" i="1" s="1"/>
  <c r="F8" i="1" s="1"/>
  <c r="F10" i="1" s="1"/>
  <c r="F11" i="1" s="1"/>
  <c r="F13" i="1" s="1"/>
  <c r="F15" i="1" s="1"/>
  <c r="F16" i="1" s="1"/>
  <c r="F17" i="1" s="1"/>
  <c r="F19" i="1" s="1"/>
  <c r="F20" i="1" s="1"/>
  <c r="F22" i="1" l="1"/>
  <c r="F24" i="1" s="1"/>
  <c r="F27" i="1" s="1"/>
  <c r="F29" i="1" s="1"/>
  <c r="F23" i="1"/>
  <c r="F25" i="1" s="1"/>
  <c r="F26" i="1" s="1"/>
  <c r="F28" i="1" s="1"/>
  <c r="F30" i="1" s="1"/>
  <c r="D3" i="2"/>
  <c r="D2" i="2"/>
  <c r="B3" i="4" s="1"/>
  <c r="B5" i="4" l="1"/>
</calcChain>
</file>

<file path=xl/sharedStrings.xml><?xml version="1.0" encoding="utf-8"?>
<sst xmlns="http://schemas.openxmlformats.org/spreadsheetml/2006/main" count="140" uniqueCount="50">
  <si>
    <t>Tanggal</t>
  </si>
  <si>
    <t>Sumber Dana</t>
  </si>
  <si>
    <t>Keterangan</t>
  </si>
  <si>
    <t>Masuk</t>
  </si>
  <si>
    <t>Keluar</t>
  </si>
  <si>
    <t>Saldo</t>
  </si>
  <si>
    <t>Kas Rayhan</t>
  </si>
  <si>
    <t>Saldo Awal</t>
  </si>
  <si>
    <t>Kas Azka</t>
  </si>
  <si>
    <t>Total Masuk</t>
  </si>
  <si>
    <t>Total Keluar</t>
  </si>
  <si>
    <t>Saldo Akhir</t>
  </si>
  <si>
    <t>Komponen</t>
  </si>
  <si>
    <t>Total</t>
  </si>
  <si>
    <t>Sewa</t>
  </si>
  <si>
    <t>Indihome</t>
  </si>
  <si>
    <t>Listrik</t>
  </si>
  <si>
    <t>Air</t>
  </si>
  <si>
    <t>Dashboard Kas</t>
  </si>
  <si>
    <t>Saldo Kas Rayhan</t>
  </si>
  <si>
    <t>Kebutuhan per Bulan (Rayhan)</t>
  </si>
  <si>
    <t>Estimasi Bertahan (Bulan)</t>
  </si>
  <si>
    <t>Split Instalasi WIFI</t>
  </si>
  <si>
    <t>Split Beli Lampu Depan</t>
  </si>
  <si>
    <t>Split Beli Lampu Tengah</t>
  </si>
  <si>
    <t>Bayar Laundry</t>
  </si>
  <si>
    <t>Sewa Rumdin</t>
  </si>
  <si>
    <t>Listrik Mei</t>
  </si>
  <si>
    <t>Tagihan PDAM</t>
  </si>
  <si>
    <t>Tagihan Indihome</t>
  </si>
  <si>
    <t>Rayhan</t>
  </si>
  <si>
    <t>Azka</t>
  </si>
  <si>
    <t>Listrik Juni</t>
  </si>
  <si>
    <t xml:space="preserve">Listrik April </t>
  </si>
  <si>
    <t>Split Kulkas</t>
  </si>
  <si>
    <t>Cat Kamar</t>
  </si>
  <si>
    <t>Split Ongkir Kulkas</t>
  </si>
  <si>
    <t>Double Tip</t>
  </si>
  <si>
    <t>Split Kran Dapur</t>
  </si>
  <si>
    <t>Splti Kran Dapur</t>
  </si>
  <si>
    <t>Kunci Jendela, Kelengkapan Cat (Roller, amplas, dll)</t>
  </si>
  <si>
    <t>Inject Dana</t>
  </si>
  <si>
    <t>Pemeliharaan Rumput</t>
  </si>
  <si>
    <t>Obat Rumput</t>
  </si>
  <si>
    <t>Listrik Juli</t>
  </si>
  <si>
    <t>Jasa Pemeliharaan Rumput</t>
  </si>
  <si>
    <t>Bensin Mesin Pemotong Rumput</t>
  </si>
  <si>
    <t>Makan Siang Jasa Pemeliharaan Rumput</t>
  </si>
  <si>
    <t>Jamuan Air Jasa Pemeliharaan Rumput</t>
  </si>
  <si>
    <t>Lem Pipa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</si>
</sst>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164" fontId="2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0" fontId="4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4</xdr:row>
      <xdr:rowOff>38100</xdr:rowOff>
    </xdr:from>
    <xdr:to>
      <xdr:col>4</xdr:col>
      <xdr:colOff>311150</xdr:colOff>
      <xdr:row>8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99AA04-3A63-45D1-8621-E82DB47AC870}"/>
            </a:ext>
          </a:extLst>
        </xdr:cNvPr>
        <xdr:cNvSpPr txBox="1"/>
      </xdr:nvSpPr>
      <xdr:spPr>
        <a:xfrm>
          <a:off x="2984500" y="774700"/>
          <a:ext cx="1428750" cy="81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/>
            <a:t>Angka</a:t>
          </a:r>
          <a:r>
            <a:rPr lang="en-ID" sz="1100" b="1" baseline="0"/>
            <a:t> </a:t>
          </a:r>
          <a:r>
            <a:rPr lang="en-ID" sz="1100" b="1" i="1" baseline="0"/>
            <a:t>basline. </a:t>
          </a:r>
          <a:r>
            <a:rPr lang="en-ID" sz="1100" b="1" i="0" baseline="0"/>
            <a:t>Pengeluaran tiap komponen per bulan dapat berubah-ubah</a:t>
          </a:r>
          <a:endParaRPr lang="en-ID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43" workbookViewId="0">
      <selection activeCell="A56" sqref="A56"/>
    </sheetView>
  </sheetViews>
  <sheetFormatPr defaultRowHeight="14.5" x14ac:dyDescent="0.35"/>
  <cols>
    <col min="1" max="1" width="30.08984375" style="10" customWidth="1"/>
    <col min="2" max="2" width="15" customWidth="1"/>
    <col min="3" max="3" width="47.1796875" customWidth="1"/>
    <col min="4" max="4" width="20.1796875" style="3" customWidth="1"/>
    <col min="5" max="5" width="12" style="3" customWidth="1"/>
    <col min="6" max="6" width="20.90625" style="3" customWidth="1"/>
    <col min="8" max="8" width="19.54296875" customWidth="1"/>
    <col min="9" max="9" width="12.6328125" bestFit="1" customWidth="1"/>
  </cols>
  <sheetData>
    <row r="1" spans="1:6" x14ac:dyDescent="0.35">
      <c r="A1" s="9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10">
        <v>46122</v>
      </c>
      <c r="B2" t="s">
        <v>6</v>
      </c>
      <c r="C2" t="s">
        <v>7</v>
      </c>
      <c r="D2" s="3">
        <v>2500000</v>
      </c>
      <c r="E2" s="3">
        <v>0</v>
      </c>
      <c r="F2" s="3">
        <f>D2-E2</f>
        <v>2500000</v>
      </c>
    </row>
    <row r="3" spans="1:6" x14ac:dyDescent="0.35">
      <c r="A3" s="10">
        <v>46122</v>
      </c>
      <c r="B3" t="s">
        <v>8</v>
      </c>
      <c r="C3" t="s">
        <v>7</v>
      </c>
      <c r="D3" s="3">
        <v>2500000</v>
      </c>
      <c r="E3" s="3">
        <v>0</v>
      </c>
      <c r="F3" s="3">
        <f>D3-E3</f>
        <v>2500000</v>
      </c>
    </row>
    <row r="4" spans="1:6" x14ac:dyDescent="0.35">
      <c r="A4" s="10">
        <v>46123</v>
      </c>
      <c r="B4" t="s">
        <v>6</v>
      </c>
      <c r="C4" t="s">
        <v>22</v>
      </c>
      <c r="D4" s="3">
        <v>0</v>
      </c>
      <c r="E4" s="3">
        <v>50000</v>
      </c>
      <c r="F4" s="3">
        <f>F3-E4</f>
        <v>2450000</v>
      </c>
    </row>
    <row r="5" spans="1:6" x14ac:dyDescent="0.35">
      <c r="A5" s="10">
        <v>46123</v>
      </c>
      <c r="B5" t="s">
        <v>8</v>
      </c>
      <c r="C5" t="s">
        <v>22</v>
      </c>
      <c r="D5" s="3">
        <v>0</v>
      </c>
      <c r="E5" s="3">
        <v>50000</v>
      </c>
      <c r="F5" s="3">
        <f>F2-E5</f>
        <v>2450000</v>
      </c>
    </row>
    <row r="6" spans="1:6" x14ac:dyDescent="0.35">
      <c r="A6" s="10">
        <v>46132</v>
      </c>
      <c r="B6" t="s">
        <v>6</v>
      </c>
      <c r="C6" t="s">
        <v>25</v>
      </c>
      <c r="D6" s="3">
        <v>0</v>
      </c>
      <c r="E6" s="3">
        <v>69200</v>
      </c>
      <c r="F6" s="3">
        <f>F4-E6</f>
        <v>2380800</v>
      </c>
    </row>
    <row r="7" spans="1:6" x14ac:dyDescent="0.35">
      <c r="A7" s="10">
        <v>46133</v>
      </c>
      <c r="B7" t="s">
        <v>6</v>
      </c>
      <c r="C7" t="s">
        <v>23</v>
      </c>
      <c r="D7" s="3">
        <v>0</v>
      </c>
      <c r="E7" s="3">
        <v>9000</v>
      </c>
      <c r="F7" s="3">
        <f>F6-E7</f>
        <v>2371800</v>
      </c>
    </row>
    <row r="8" spans="1:6" x14ac:dyDescent="0.35">
      <c r="A8" s="10">
        <v>46133</v>
      </c>
      <c r="B8" t="s">
        <v>8</v>
      </c>
      <c r="C8" t="s">
        <v>23</v>
      </c>
      <c r="D8" s="3">
        <v>0</v>
      </c>
      <c r="E8" s="3">
        <v>9000</v>
      </c>
      <c r="F8" s="3">
        <f>F5-E8</f>
        <v>2441000</v>
      </c>
    </row>
    <row r="9" spans="1:6" x14ac:dyDescent="0.35">
      <c r="A9" s="10">
        <v>46133</v>
      </c>
      <c r="B9" t="s">
        <v>6</v>
      </c>
      <c r="C9" t="s">
        <v>24</v>
      </c>
      <c r="D9" s="3">
        <v>0</v>
      </c>
      <c r="E9" s="3">
        <f>67800/2</f>
        <v>33900</v>
      </c>
      <c r="F9" s="3">
        <f>F7-E9</f>
        <v>2337900</v>
      </c>
    </row>
    <row r="10" spans="1:6" x14ac:dyDescent="0.35">
      <c r="A10" s="10">
        <v>46133</v>
      </c>
      <c r="B10" t="s">
        <v>8</v>
      </c>
      <c r="C10" t="s">
        <v>24</v>
      </c>
      <c r="D10" s="3">
        <v>0</v>
      </c>
      <c r="E10" s="3">
        <v>33900</v>
      </c>
      <c r="F10" s="3">
        <f>F8-E10</f>
        <v>2407100</v>
      </c>
    </row>
    <row r="11" spans="1:6" x14ac:dyDescent="0.35">
      <c r="A11" s="10">
        <v>46134</v>
      </c>
      <c r="B11" t="s">
        <v>8</v>
      </c>
      <c r="C11" t="s">
        <v>42</v>
      </c>
      <c r="D11" s="3">
        <v>0</v>
      </c>
      <c r="E11" s="3">
        <v>250000</v>
      </c>
      <c r="F11" s="3">
        <f>F10-E11</f>
        <v>2157100</v>
      </c>
    </row>
    <row r="12" spans="1:6" x14ac:dyDescent="0.35">
      <c r="A12" s="10">
        <v>46134</v>
      </c>
      <c r="B12" t="s">
        <v>6</v>
      </c>
      <c r="C12" t="s">
        <v>42</v>
      </c>
      <c r="D12" s="3">
        <v>0</v>
      </c>
      <c r="E12" s="3">
        <v>250000</v>
      </c>
      <c r="F12" s="3">
        <f>F9-E12</f>
        <v>2087900</v>
      </c>
    </row>
    <row r="13" spans="1:6" x14ac:dyDescent="0.35">
      <c r="A13" s="10">
        <v>46135</v>
      </c>
      <c r="B13" t="s">
        <v>8</v>
      </c>
      <c r="C13" t="s">
        <v>33</v>
      </c>
      <c r="D13" s="3">
        <v>0</v>
      </c>
      <c r="E13" s="3">
        <v>200000</v>
      </c>
      <c r="F13" s="3">
        <f>F11-E13</f>
        <v>1957100</v>
      </c>
    </row>
    <row r="14" spans="1:6" x14ac:dyDescent="0.35">
      <c r="A14" s="10">
        <v>46134</v>
      </c>
      <c r="B14" t="s">
        <v>6</v>
      </c>
      <c r="C14" t="s">
        <v>43</v>
      </c>
      <c r="D14" s="3">
        <v>0</v>
      </c>
      <c r="E14" s="3">
        <v>25000</v>
      </c>
      <c r="F14" s="3">
        <f>F12-E14</f>
        <v>2062900</v>
      </c>
    </row>
    <row r="15" spans="1:6" x14ac:dyDescent="0.35">
      <c r="A15" s="10">
        <v>46134</v>
      </c>
      <c r="B15" t="s">
        <v>8</v>
      </c>
      <c r="C15" t="s">
        <v>43</v>
      </c>
      <c r="D15" s="3">
        <v>0</v>
      </c>
      <c r="E15" s="3">
        <v>25000</v>
      </c>
      <c r="F15" s="3">
        <f>F13-E15</f>
        <v>1932100</v>
      </c>
    </row>
    <row r="16" spans="1:6" x14ac:dyDescent="0.35">
      <c r="A16" s="10">
        <v>46143</v>
      </c>
      <c r="B16" t="s">
        <v>8</v>
      </c>
      <c r="C16" t="s">
        <v>26</v>
      </c>
      <c r="D16" s="3">
        <v>0</v>
      </c>
      <c r="E16" s="3">
        <v>200000</v>
      </c>
      <c r="F16" s="3">
        <f>F15-E16</f>
        <v>1732100</v>
      </c>
    </row>
    <row r="17" spans="1:6" x14ac:dyDescent="0.35">
      <c r="A17" s="10">
        <v>46143</v>
      </c>
      <c r="B17" t="s">
        <v>8</v>
      </c>
      <c r="C17" t="s">
        <v>27</v>
      </c>
      <c r="D17" s="3">
        <v>0</v>
      </c>
      <c r="E17" s="3">
        <v>500000</v>
      </c>
      <c r="F17" s="3">
        <f>F16-E17</f>
        <v>1232100</v>
      </c>
    </row>
    <row r="18" spans="1:6" x14ac:dyDescent="0.35">
      <c r="A18" s="10">
        <v>46143</v>
      </c>
      <c r="B18" t="s">
        <v>6</v>
      </c>
      <c r="C18" t="s">
        <v>26</v>
      </c>
      <c r="D18" s="3">
        <v>0</v>
      </c>
      <c r="E18" s="3">
        <v>185000</v>
      </c>
      <c r="F18" s="3">
        <f>F14-E18</f>
        <v>1877900</v>
      </c>
    </row>
    <row r="19" spans="1:6" x14ac:dyDescent="0.35">
      <c r="A19" s="10">
        <v>46143</v>
      </c>
      <c r="B19" t="s">
        <v>8</v>
      </c>
      <c r="C19" t="s">
        <v>28</v>
      </c>
      <c r="D19" s="3">
        <v>0</v>
      </c>
      <c r="E19" s="3">
        <v>31000</v>
      </c>
      <c r="F19" s="3">
        <f>F17-E19</f>
        <v>1201100</v>
      </c>
    </row>
    <row r="20" spans="1:6" x14ac:dyDescent="0.35">
      <c r="A20" s="10">
        <v>46162</v>
      </c>
      <c r="B20" t="s">
        <v>8</v>
      </c>
      <c r="C20" t="s">
        <v>29</v>
      </c>
      <c r="D20" s="3">
        <v>0</v>
      </c>
      <c r="E20" s="3">
        <v>99345</v>
      </c>
      <c r="F20" s="3">
        <f>F19-E20</f>
        <v>1101755</v>
      </c>
    </row>
    <row r="21" spans="1:6" x14ac:dyDescent="0.35">
      <c r="A21" s="10">
        <v>46162</v>
      </c>
      <c r="B21" t="s">
        <v>6</v>
      </c>
      <c r="C21" t="s">
        <v>29</v>
      </c>
      <c r="D21" s="3">
        <v>0</v>
      </c>
      <c r="E21" s="3">
        <v>99345</v>
      </c>
      <c r="F21" s="3">
        <f>F18-E21</f>
        <v>1778555</v>
      </c>
    </row>
    <row r="22" spans="1:6" x14ac:dyDescent="0.35">
      <c r="A22" s="10">
        <v>46174</v>
      </c>
      <c r="B22" t="s">
        <v>8</v>
      </c>
      <c r="C22" t="s">
        <v>32</v>
      </c>
      <c r="D22" s="3">
        <v>0</v>
      </c>
      <c r="E22" s="3">
        <v>250000</v>
      </c>
      <c r="F22" s="3">
        <f>F20-E22</f>
        <v>851755</v>
      </c>
    </row>
    <row r="23" spans="1:6" x14ac:dyDescent="0.35">
      <c r="A23" s="10">
        <v>46174</v>
      </c>
      <c r="B23" t="s">
        <v>6</v>
      </c>
      <c r="C23" t="s">
        <v>32</v>
      </c>
      <c r="D23" s="3">
        <v>0</v>
      </c>
      <c r="E23" s="3">
        <v>250000</v>
      </c>
      <c r="F23" s="3">
        <f>F21-E23</f>
        <v>1528555</v>
      </c>
    </row>
    <row r="24" spans="1:6" x14ac:dyDescent="0.35">
      <c r="A24" s="10">
        <v>46174</v>
      </c>
      <c r="B24" t="s">
        <v>8</v>
      </c>
      <c r="C24" t="s">
        <v>26</v>
      </c>
      <c r="D24" s="3">
        <v>0</v>
      </c>
      <c r="E24" s="3">
        <v>245000</v>
      </c>
      <c r="F24" s="3">
        <f>F22-E24</f>
        <v>606755</v>
      </c>
    </row>
    <row r="25" spans="1:6" x14ac:dyDescent="0.35">
      <c r="A25" s="10">
        <v>46174</v>
      </c>
      <c r="B25" t="s">
        <v>6</v>
      </c>
      <c r="C25" t="s">
        <v>26</v>
      </c>
      <c r="D25" s="3">
        <v>0</v>
      </c>
      <c r="E25" s="3">
        <v>200000</v>
      </c>
      <c r="F25" s="3">
        <f>F23-E25</f>
        <v>1328555</v>
      </c>
    </row>
    <row r="26" spans="1:6" x14ac:dyDescent="0.35">
      <c r="A26" s="10">
        <v>46174</v>
      </c>
      <c r="B26" t="s">
        <v>6</v>
      </c>
      <c r="C26" t="s">
        <v>29</v>
      </c>
      <c r="D26" s="3">
        <v>0</v>
      </c>
      <c r="E26" s="3">
        <v>155000</v>
      </c>
      <c r="F26" s="3">
        <f>F25-E26</f>
        <v>1173555</v>
      </c>
    </row>
    <row r="27" spans="1:6" x14ac:dyDescent="0.35">
      <c r="A27" s="10">
        <v>46174</v>
      </c>
      <c r="B27" t="s">
        <v>8</v>
      </c>
      <c r="C27" t="s">
        <v>29</v>
      </c>
      <c r="D27" s="3">
        <v>0</v>
      </c>
      <c r="E27" s="3">
        <v>155000</v>
      </c>
      <c r="F27" s="3">
        <f>F24-E27</f>
        <v>451755</v>
      </c>
    </row>
    <row r="28" spans="1:6" x14ac:dyDescent="0.35">
      <c r="A28" s="10">
        <v>46174</v>
      </c>
      <c r="B28" t="s">
        <v>6</v>
      </c>
      <c r="C28" t="s">
        <v>28</v>
      </c>
      <c r="D28" s="3">
        <v>0</v>
      </c>
      <c r="E28" s="3">
        <v>46500</v>
      </c>
      <c r="F28" s="3">
        <f>F26-E28</f>
        <v>1127055</v>
      </c>
    </row>
    <row r="29" spans="1:6" x14ac:dyDescent="0.35">
      <c r="A29" s="10">
        <v>46174</v>
      </c>
      <c r="B29" t="s">
        <v>8</v>
      </c>
      <c r="C29" t="s">
        <v>28</v>
      </c>
      <c r="D29" s="3">
        <v>0</v>
      </c>
      <c r="E29" s="3">
        <f>46500</f>
        <v>46500</v>
      </c>
      <c r="F29" s="3">
        <f>F27-E29</f>
        <v>405255</v>
      </c>
    </row>
    <row r="30" spans="1:6" x14ac:dyDescent="0.35">
      <c r="A30" s="10">
        <v>46201</v>
      </c>
      <c r="B30" t="s">
        <v>6</v>
      </c>
      <c r="C30" t="s">
        <v>34</v>
      </c>
      <c r="D30" s="3">
        <v>0</v>
      </c>
      <c r="E30" s="3">
        <v>250000</v>
      </c>
      <c r="F30" s="3">
        <f>F28-E30</f>
        <v>877055</v>
      </c>
    </row>
    <row r="31" spans="1:6" x14ac:dyDescent="0.35">
      <c r="A31" s="10">
        <v>46201</v>
      </c>
      <c r="B31" t="s">
        <v>8</v>
      </c>
      <c r="C31" t="s">
        <v>34</v>
      </c>
      <c r="D31" s="3">
        <v>0</v>
      </c>
      <c r="E31" s="3">
        <v>250000</v>
      </c>
      <c r="F31" s="3">
        <f>F29-E31</f>
        <v>155255</v>
      </c>
    </row>
    <row r="32" spans="1:6" x14ac:dyDescent="0.35">
      <c r="A32" s="10">
        <v>46201</v>
      </c>
      <c r="B32" t="s">
        <v>8</v>
      </c>
      <c r="C32" t="s">
        <v>36</v>
      </c>
      <c r="D32" s="3">
        <v>0</v>
      </c>
      <c r="E32" s="3">
        <v>50000</v>
      </c>
      <c r="F32" s="3">
        <f>F31-E32</f>
        <v>105255</v>
      </c>
    </row>
    <row r="33" spans="1:6" x14ac:dyDescent="0.35">
      <c r="A33" s="10">
        <v>46201</v>
      </c>
      <c r="B33" t="s">
        <v>8</v>
      </c>
      <c r="C33" t="s">
        <v>37</v>
      </c>
      <c r="D33" s="3">
        <v>0</v>
      </c>
      <c r="E33" s="3">
        <v>5000</v>
      </c>
      <c r="F33" s="3">
        <f>F32-E33</f>
        <v>100255</v>
      </c>
    </row>
    <row r="34" spans="1:6" x14ac:dyDescent="0.35">
      <c r="A34" s="10">
        <v>46201</v>
      </c>
      <c r="B34" t="s">
        <v>8</v>
      </c>
      <c r="C34" t="s">
        <v>38</v>
      </c>
      <c r="D34" s="3">
        <v>0</v>
      </c>
      <c r="E34" s="3">
        <v>22500</v>
      </c>
      <c r="F34" s="3">
        <f>F33-E34</f>
        <v>77755</v>
      </c>
    </row>
    <row r="35" spans="1:6" x14ac:dyDescent="0.35">
      <c r="A35" s="10">
        <v>46201</v>
      </c>
      <c r="B35" t="s">
        <v>6</v>
      </c>
      <c r="C35" t="s">
        <v>39</v>
      </c>
      <c r="D35" s="3">
        <v>0</v>
      </c>
      <c r="E35" s="3">
        <v>22500</v>
      </c>
      <c r="F35" s="3">
        <f>F30-E35</f>
        <v>854555</v>
      </c>
    </row>
    <row r="36" spans="1:6" x14ac:dyDescent="0.35">
      <c r="A36" s="10">
        <v>46201</v>
      </c>
      <c r="B36" t="s">
        <v>6</v>
      </c>
      <c r="C36" t="s">
        <v>35</v>
      </c>
      <c r="D36" s="3">
        <v>0</v>
      </c>
      <c r="E36" s="3">
        <v>168000</v>
      </c>
      <c r="F36" s="3">
        <f>F35-E36</f>
        <v>686555</v>
      </c>
    </row>
    <row r="37" spans="1:6" x14ac:dyDescent="0.35">
      <c r="A37" s="10">
        <v>46201</v>
      </c>
      <c r="B37" t="s">
        <v>6</v>
      </c>
      <c r="C37" t="s">
        <v>40</v>
      </c>
      <c r="D37" s="3">
        <v>0</v>
      </c>
      <c r="E37" s="3">
        <v>85280</v>
      </c>
      <c r="F37" s="3">
        <f>F36-E37</f>
        <v>601275</v>
      </c>
    </row>
    <row r="38" spans="1:6" x14ac:dyDescent="0.35">
      <c r="A38" s="10">
        <v>46204</v>
      </c>
      <c r="B38" t="s">
        <v>8</v>
      </c>
      <c r="C38" t="s">
        <v>41</v>
      </c>
      <c r="D38" s="3">
        <v>1000000</v>
      </c>
      <c r="E38" s="3">
        <v>0</v>
      </c>
      <c r="F38" s="3">
        <f>F34+D38</f>
        <v>1077755</v>
      </c>
    </row>
    <row r="39" spans="1:6" x14ac:dyDescent="0.35">
      <c r="A39" s="10">
        <v>46204</v>
      </c>
      <c r="B39" t="s">
        <v>8</v>
      </c>
      <c r="C39" t="s">
        <v>26</v>
      </c>
      <c r="D39" s="3">
        <v>0</v>
      </c>
      <c r="E39" s="3">
        <v>245000</v>
      </c>
      <c r="F39" s="3">
        <f>F38-E39</f>
        <v>832755</v>
      </c>
    </row>
    <row r="40" spans="1:6" x14ac:dyDescent="0.35">
      <c r="A40" s="10">
        <v>46204</v>
      </c>
      <c r="B40" t="s">
        <v>6</v>
      </c>
      <c r="C40" t="s">
        <v>26</v>
      </c>
      <c r="D40" s="3">
        <v>0</v>
      </c>
      <c r="E40" s="3">
        <v>200000</v>
      </c>
      <c r="F40" s="3">
        <f>F37-E40</f>
        <v>401275</v>
      </c>
    </row>
    <row r="41" spans="1:6" x14ac:dyDescent="0.35">
      <c r="A41" s="10">
        <v>46208</v>
      </c>
      <c r="B41" t="s">
        <v>6</v>
      </c>
      <c r="C41" t="s">
        <v>41</v>
      </c>
      <c r="D41" s="3">
        <v>1000000</v>
      </c>
      <c r="E41" s="3">
        <v>0</v>
      </c>
      <c r="F41" s="3">
        <f>F40+D41</f>
        <v>1401275</v>
      </c>
    </row>
    <row r="42" spans="1:6" x14ac:dyDescent="0.35">
      <c r="A42" s="10">
        <v>46208</v>
      </c>
      <c r="B42" t="s">
        <v>6</v>
      </c>
      <c r="C42" t="s">
        <v>45</v>
      </c>
      <c r="D42" s="3">
        <v>0</v>
      </c>
      <c r="E42" s="3">
        <v>150000</v>
      </c>
      <c r="F42" s="3">
        <f>F41-E42</f>
        <v>1251275</v>
      </c>
    </row>
    <row r="43" spans="1:6" x14ac:dyDescent="0.35">
      <c r="A43" s="10">
        <v>46208</v>
      </c>
      <c r="B43" t="s">
        <v>8</v>
      </c>
      <c r="C43" t="s">
        <v>45</v>
      </c>
      <c r="D43" s="3">
        <v>0</v>
      </c>
      <c r="E43" s="3">
        <v>150000</v>
      </c>
      <c r="F43" s="3">
        <f>F39-E43</f>
        <v>682755</v>
      </c>
    </row>
    <row r="44" spans="1:6" x14ac:dyDescent="0.35">
      <c r="A44" s="10">
        <v>46208</v>
      </c>
      <c r="B44" t="s">
        <v>8</v>
      </c>
      <c r="C44" t="s">
        <v>47</v>
      </c>
      <c r="D44" s="3">
        <v>0</v>
      </c>
      <c r="E44" s="3">
        <v>11000</v>
      </c>
      <c r="F44" s="3">
        <f>F43-E44</f>
        <v>671755</v>
      </c>
    </row>
    <row r="45" spans="1:6" x14ac:dyDescent="0.35">
      <c r="A45" s="10">
        <v>46208</v>
      </c>
      <c r="B45" t="s">
        <v>8</v>
      </c>
      <c r="C45" t="s">
        <v>46</v>
      </c>
      <c r="D45" s="3">
        <v>0</v>
      </c>
      <c r="E45" s="3">
        <v>10000</v>
      </c>
      <c r="F45" s="3">
        <f>F44-E45</f>
        <v>661755</v>
      </c>
    </row>
    <row r="46" spans="1:6" x14ac:dyDescent="0.35">
      <c r="A46" s="10">
        <v>46208</v>
      </c>
      <c r="B46" t="s">
        <v>8</v>
      </c>
      <c r="C46" t="s">
        <v>48</v>
      </c>
      <c r="D46" s="3">
        <v>0</v>
      </c>
      <c r="E46" s="3">
        <v>7000</v>
      </c>
      <c r="F46" s="3">
        <f>F45-E46</f>
        <v>654755</v>
      </c>
    </row>
    <row r="47" spans="1:6" x14ac:dyDescent="0.35">
      <c r="A47" s="10">
        <v>46208</v>
      </c>
      <c r="B47" t="s">
        <v>6</v>
      </c>
      <c r="C47" t="s">
        <v>47</v>
      </c>
      <c r="D47" s="3">
        <v>0</v>
      </c>
      <c r="E47" s="3">
        <v>11000</v>
      </c>
      <c r="F47" s="3">
        <f>F42-E47</f>
        <v>1240275</v>
      </c>
    </row>
    <row r="48" spans="1:6" x14ac:dyDescent="0.35">
      <c r="A48" s="10">
        <v>46208</v>
      </c>
      <c r="B48" t="s">
        <v>6</v>
      </c>
      <c r="C48" t="s">
        <v>46</v>
      </c>
      <c r="D48" s="3">
        <v>0</v>
      </c>
      <c r="E48" s="3">
        <v>10000</v>
      </c>
      <c r="F48" s="3">
        <f>F47-E48</f>
        <v>1230275</v>
      </c>
    </row>
    <row r="49" spans="1:6" x14ac:dyDescent="0.35">
      <c r="A49" s="10">
        <v>46208</v>
      </c>
      <c r="B49" t="s">
        <v>6</v>
      </c>
      <c r="C49" t="s">
        <v>48</v>
      </c>
      <c r="D49" s="3">
        <v>0</v>
      </c>
      <c r="E49" s="3">
        <v>7000</v>
      </c>
      <c r="F49" s="3">
        <f>F48-E49</f>
        <v>1223275</v>
      </c>
    </row>
    <row r="50" spans="1:6" x14ac:dyDescent="0.35">
      <c r="A50" s="10">
        <v>46208</v>
      </c>
      <c r="B50" t="s">
        <v>6</v>
      </c>
      <c r="C50" t="s">
        <v>49</v>
      </c>
      <c r="D50" s="3">
        <v>0</v>
      </c>
      <c r="E50" s="3">
        <v>7000</v>
      </c>
      <c r="F50" s="3">
        <f>F49-E50</f>
        <v>1216275</v>
      </c>
    </row>
    <row r="51" spans="1:6" x14ac:dyDescent="0.35">
      <c r="A51" s="10">
        <v>46208</v>
      </c>
      <c r="B51" t="s">
        <v>8</v>
      </c>
      <c r="C51" t="s">
        <v>49</v>
      </c>
      <c r="D51" s="3">
        <v>0</v>
      </c>
      <c r="E51" s="3">
        <v>5250</v>
      </c>
      <c r="F51" s="3">
        <f>F50-E51</f>
        <v>1211025</v>
      </c>
    </row>
    <row r="52" spans="1:6" x14ac:dyDescent="0.35">
      <c r="A52" s="10">
        <v>46210</v>
      </c>
      <c r="B52" t="s">
        <v>8</v>
      </c>
      <c r="C52" t="s">
        <v>44</v>
      </c>
      <c r="D52" s="3">
        <v>0</v>
      </c>
      <c r="E52" s="3">
        <v>250000</v>
      </c>
      <c r="F52" s="3">
        <f>F46-E52</f>
        <v>404755</v>
      </c>
    </row>
    <row r="53" spans="1:6" x14ac:dyDescent="0.35">
      <c r="A53" s="10">
        <v>46210</v>
      </c>
      <c r="B53" t="s">
        <v>6</v>
      </c>
      <c r="C53" t="s">
        <v>44</v>
      </c>
      <c r="D53" s="3">
        <v>0</v>
      </c>
      <c r="E53" s="3">
        <v>250000</v>
      </c>
      <c r="F53" s="3">
        <f>F51-E53</f>
        <v>961025</v>
      </c>
    </row>
    <row r="54" spans="1:6" x14ac:dyDescent="0.35">
      <c r="A54" s="10">
        <v>46210</v>
      </c>
      <c r="B54" t="s">
        <v>6</v>
      </c>
      <c r="C54" t="s">
        <v>28</v>
      </c>
      <c r="D54" s="3">
        <v>0</v>
      </c>
      <c r="E54" s="3">
        <v>105500</v>
      </c>
      <c r="F54" s="3">
        <f>F53-E54</f>
        <v>855525</v>
      </c>
    </row>
    <row r="55" spans="1:6" x14ac:dyDescent="0.35">
      <c r="A55" s="10">
        <v>46210</v>
      </c>
      <c r="B55" t="s">
        <v>8</v>
      </c>
      <c r="C55" t="s">
        <v>28</v>
      </c>
      <c r="D55" s="3">
        <v>0</v>
      </c>
      <c r="E55" s="3">
        <v>105500</v>
      </c>
      <c r="F55" s="3">
        <f>F52-E55</f>
        <v>299255</v>
      </c>
    </row>
  </sheetData>
  <conditionalFormatting sqref="A1:F10">
    <cfRule type="containsText" dxfId="2" priority="6" operator="containsText" text="Azka">
      <formula>NOT(ISERROR(SEARCH("Azka",A1)))</formula>
    </cfRule>
  </conditionalFormatting>
  <conditionalFormatting sqref="B2:XFD2 B3:G7 J3:XFD7 A2:A30 B8:XFD30 A1:XFD1 A31:XFD1048576">
    <cfRule type="containsText" dxfId="1" priority="4" operator="containsText" text="Rayhan">
      <formula>NOT(ISERROR(SEARCH("Rayhan",A1)))</formula>
    </cfRule>
    <cfRule type="containsText" dxfId="0" priority="5" operator="containsText" text="Azka">
      <formula>NOT(ISERROR(SEARCH("Azka",A1)))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14" sqref="D14"/>
    </sheetView>
  </sheetViews>
  <sheetFormatPr defaultRowHeight="14.5" x14ac:dyDescent="0.35"/>
  <cols>
    <col min="1" max="1" width="15" customWidth="1"/>
    <col min="2" max="4" width="18" customWidth="1"/>
  </cols>
  <sheetData>
    <row r="1" spans="1:4" x14ac:dyDescent="0.35">
      <c r="A1" s="1" t="s">
        <v>1</v>
      </c>
      <c r="B1" s="1" t="s">
        <v>9</v>
      </c>
      <c r="C1" s="1" t="s">
        <v>10</v>
      </c>
      <c r="D1" s="1" t="s">
        <v>11</v>
      </c>
    </row>
    <row r="2" spans="1:4" x14ac:dyDescent="0.35">
      <c r="A2" s="3" t="s">
        <v>6</v>
      </c>
      <c r="B2" s="3">
        <f>SUMIF('Master Kas'!B:B,"Kas Rayhan",'Master Kas'!D:D)</f>
        <v>3500000</v>
      </c>
      <c r="C2" s="3">
        <f>SUMIF('Master Kas'!B:B,"Kas Rayhan",'Master Kas'!E:E)</f>
        <v>2639225</v>
      </c>
      <c r="D2" s="3">
        <f>B2-C2</f>
        <v>860775</v>
      </c>
    </row>
    <row r="3" spans="1:4" x14ac:dyDescent="0.35">
      <c r="A3" s="3" t="s">
        <v>8</v>
      </c>
      <c r="B3" s="3">
        <f>SUMIF('Master Kas'!B:B,"Kas Azka",'Master Kas'!D:D)</f>
        <v>3500000</v>
      </c>
      <c r="C3" s="3">
        <f>SUMIF('Master Kas'!B:B,"Kas Azka",'Master Kas'!E:E)</f>
        <v>3205995</v>
      </c>
      <c r="D3" s="3">
        <f>B3-C3</f>
        <v>294005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3" sqref="B3"/>
    </sheetView>
  </sheetViews>
  <sheetFormatPr defaultRowHeight="14.5" x14ac:dyDescent="0.35"/>
  <cols>
    <col min="1" max="1" width="30" customWidth="1"/>
    <col min="2" max="2" width="20" customWidth="1"/>
  </cols>
  <sheetData>
    <row r="1" spans="1:2" ht="18.5" x14ac:dyDescent="0.45">
      <c r="A1" s="4" t="s">
        <v>18</v>
      </c>
      <c r="B1" s="2"/>
    </row>
    <row r="2" spans="1:2" x14ac:dyDescent="0.35">
      <c r="A2" s="2"/>
      <c r="B2" s="2"/>
    </row>
    <row r="3" spans="1:2" x14ac:dyDescent="0.35">
      <c r="A3" s="5" t="s">
        <v>19</v>
      </c>
      <c r="B3" s="2">
        <f>'Sisa Kas'!D2</f>
        <v>860775</v>
      </c>
    </row>
    <row r="4" spans="1:2" x14ac:dyDescent="0.35">
      <c r="A4" s="5" t="s">
        <v>20</v>
      </c>
      <c r="B4" s="2">
        <v>715000</v>
      </c>
    </row>
    <row r="5" spans="1:2" x14ac:dyDescent="0.35">
      <c r="A5" s="5" t="s">
        <v>21</v>
      </c>
      <c r="B5" s="2">
        <f>IFERROR(B3/B4,0)</f>
        <v>1.2038811188811189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B14" sqref="B14"/>
    </sheetView>
  </sheetViews>
  <sheetFormatPr defaultRowHeight="14.5" x14ac:dyDescent="0.35"/>
  <cols>
    <col min="1" max="1" width="20" customWidth="1"/>
    <col min="2" max="2" width="15" customWidth="1"/>
    <col min="4" max="4" width="15" customWidth="1"/>
  </cols>
  <sheetData>
    <row r="1" spans="1:2" x14ac:dyDescent="0.35">
      <c r="A1" s="11" t="s">
        <v>30</v>
      </c>
      <c r="B1" s="11"/>
    </row>
    <row r="2" spans="1:2" x14ac:dyDescent="0.35">
      <c r="A2" s="7" t="s">
        <v>12</v>
      </c>
      <c r="B2" s="7" t="s">
        <v>13</v>
      </c>
    </row>
    <row r="3" spans="1:2" x14ac:dyDescent="0.35">
      <c r="A3" s="8" t="s">
        <v>14</v>
      </c>
      <c r="B3" s="8">
        <v>200000</v>
      </c>
    </row>
    <row r="4" spans="1:2" x14ac:dyDescent="0.35">
      <c r="A4" s="8" t="s">
        <v>15</v>
      </c>
      <c r="B4" s="8">
        <v>155000</v>
      </c>
    </row>
    <row r="5" spans="1:2" x14ac:dyDescent="0.35">
      <c r="A5" s="8" t="s">
        <v>16</v>
      </c>
      <c r="B5" s="8">
        <v>300000</v>
      </c>
    </row>
    <row r="6" spans="1:2" x14ac:dyDescent="0.35">
      <c r="A6" s="8" t="s">
        <v>17</v>
      </c>
      <c r="B6" s="8">
        <v>50000</v>
      </c>
    </row>
    <row r="7" spans="1:2" x14ac:dyDescent="0.35">
      <c r="A7" s="8" t="s">
        <v>13</v>
      </c>
      <c r="B7" s="8">
        <f>SUM(B3:B6)</f>
        <v>705000</v>
      </c>
    </row>
    <row r="9" spans="1:2" x14ac:dyDescent="0.35">
      <c r="A9" s="11" t="s">
        <v>31</v>
      </c>
      <c r="B9" s="11"/>
    </row>
    <row r="10" spans="1:2" x14ac:dyDescent="0.35">
      <c r="A10" s="7" t="s">
        <v>12</v>
      </c>
      <c r="B10" s="7" t="s">
        <v>13</v>
      </c>
    </row>
    <row r="11" spans="1:2" x14ac:dyDescent="0.35">
      <c r="A11" s="8" t="s">
        <v>14</v>
      </c>
      <c r="B11" s="8">
        <v>245000</v>
      </c>
    </row>
    <row r="12" spans="1:2" x14ac:dyDescent="0.35">
      <c r="A12" s="8" t="s">
        <v>15</v>
      </c>
      <c r="B12" s="8">
        <v>155000</v>
      </c>
    </row>
    <row r="13" spans="1:2" x14ac:dyDescent="0.35">
      <c r="A13" s="8" t="s">
        <v>16</v>
      </c>
      <c r="B13" s="8">
        <v>300000</v>
      </c>
    </row>
    <row r="14" spans="1:2" x14ac:dyDescent="0.35">
      <c r="A14" s="8" t="s">
        <v>17</v>
      </c>
      <c r="B14" s="8">
        <v>50000</v>
      </c>
    </row>
    <row r="15" spans="1:2" x14ac:dyDescent="0.35">
      <c r="A15" s="8" t="s">
        <v>13</v>
      </c>
      <c r="B15" s="8">
        <f>SUM(B11:B14)</f>
        <v>750000</v>
      </c>
    </row>
  </sheetData>
  <mergeCells count="2">
    <mergeCell ref="A1:B1"/>
    <mergeCell ref="A9:B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Kas</vt:lpstr>
      <vt:lpstr>Sisa Kas</vt:lpstr>
      <vt:lpstr>Dashboard</vt:lpstr>
      <vt:lpstr>Biaya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AZKA SYAFRIZAL</cp:lastModifiedBy>
  <dcterms:created xsi:type="dcterms:W3CDTF">2026-04-27T02:25:11Z</dcterms:created>
  <dcterms:modified xsi:type="dcterms:W3CDTF">2026-07-07T09:08:08Z</dcterms:modified>
</cp:coreProperties>
</file>